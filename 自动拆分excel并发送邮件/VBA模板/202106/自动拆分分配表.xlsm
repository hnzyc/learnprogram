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haoy\Desktop\202106\202001\"/>
    </mc:Choice>
  </mc:AlternateContent>
  <bookViews>
    <workbookView xWindow="-120" yWindow="-120" windowWidth="20730" windowHeight="11160"/>
  </bookViews>
  <sheets>
    <sheet name="Sheet1" sheetId="1" r:id="rId1"/>
    <sheet name="Sheet2" sheetId="2" r:id="rId2"/>
  </sheets>
  <externalReferences>
    <externalReference r:id="rId3"/>
  </externalReferenc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6" i="1" l="1"/>
  <c r="B16" i="1"/>
  <c r="C16" i="1"/>
  <c r="D16" i="1"/>
  <c r="E16" i="1"/>
  <c r="F16" i="1"/>
  <c r="G16" i="1"/>
  <c r="A17" i="1"/>
  <c r="B17" i="1"/>
  <c r="C17" i="1"/>
  <c r="D17" i="1"/>
  <c r="E17" i="1"/>
  <c r="F17" i="1"/>
  <c r="G17" i="1"/>
  <c r="A18" i="1"/>
  <c r="B18" i="1"/>
  <c r="C18" i="1"/>
  <c r="D18" i="1"/>
  <c r="E18" i="1"/>
  <c r="F18" i="1"/>
  <c r="G18" i="1"/>
  <c r="A19" i="1"/>
  <c r="B19" i="1"/>
  <c r="C19" i="1"/>
  <c r="D19" i="1"/>
  <c r="E19" i="1"/>
  <c r="F19" i="1"/>
  <c r="G19" i="1"/>
  <c r="A2" i="1"/>
  <c r="B2" i="1"/>
  <c r="C2" i="1"/>
  <c r="D2" i="1"/>
  <c r="E2" i="1"/>
  <c r="F2" i="1"/>
  <c r="G2" i="1"/>
  <c r="A3" i="1"/>
  <c r="B3" i="1"/>
  <c r="C3" i="1"/>
  <c r="D3" i="1"/>
  <c r="E3" i="1"/>
  <c r="F3" i="1"/>
  <c r="G3" i="1"/>
  <c r="A4" i="1"/>
  <c r="B4" i="1"/>
  <c r="C4" i="1"/>
  <c r="D4" i="1"/>
  <c r="E4" i="1"/>
  <c r="F4" i="1"/>
  <c r="G4" i="1"/>
  <c r="A5" i="1"/>
  <c r="B5" i="1"/>
  <c r="C5" i="1"/>
  <c r="D5" i="1"/>
  <c r="E5" i="1"/>
  <c r="F5" i="1"/>
  <c r="G5" i="1"/>
  <c r="A6" i="1"/>
  <c r="B6" i="1"/>
  <c r="C6" i="1"/>
  <c r="D6" i="1"/>
  <c r="E6" i="1"/>
  <c r="F6" i="1"/>
  <c r="G6" i="1"/>
  <c r="A7" i="1"/>
  <c r="B7" i="1"/>
  <c r="C7" i="1"/>
  <c r="D7" i="1"/>
  <c r="E7" i="1"/>
  <c r="F7" i="1"/>
  <c r="G7" i="1"/>
  <c r="A8" i="1"/>
  <c r="B8" i="1"/>
  <c r="C8" i="1"/>
  <c r="D8" i="1"/>
  <c r="E8" i="1"/>
  <c r="F8" i="1"/>
  <c r="G8" i="1"/>
  <c r="A9" i="1"/>
  <c r="B9" i="1"/>
  <c r="C9" i="1"/>
  <c r="D9" i="1"/>
  <c r="E9" i="1"/>
  <c r="F9" i="1"/>
  <c r="G9" i="1"/>
  <c r="A10" i="1"/>
  <c r="B10" i="1"/>
  <c r="C10" i="1"/>
  <c r="D10" i="1"/>
  <c r="E10" i="1"/>
  <c r="F10" i="1"/>
  <c r="G10" i="1"/>
  <c r="A11" i="1"/>
  <c r="B11" i="1"/>
  <c r="C11" i="1"/>
  <c r="D11" i="1"/>
  <c r="E11" i="1"/>
  <c r="F11" i="1"/>
  <c r="G11" i="1"/>
  <c r="A12" i="1"/>
  <c r="B12" i="1"/>
  <c r="C12" i="1"/>
  <c r="D12" i="1"/>
  <c r="E12" i="1"/>
  <c r="F12" i="1"/>
  <c r="G12" i="1"/>
  <c r="A13" i="1"/>
  <c r="B13" i="1"/>
  <c r="C13" i="1"/>
  <c r="D13" i="1"/>
  <c r="E13" i="1"/>
  <c r="F13" i="1"/>
  <c r="G13" i="1"/>
  <c r="A14" i="1"/>
  <c r="B14" i="1"/>
  <c r="C14" i="1"/>
  <c r="D14" i="1"/>
  <c r="E14" i="1"/>
  <c r="F14" i="1"/>
  <c r="G14" i="1"/>
  <c r="A15" i="1"/>
  <c r="B15" i="1"/>
  <c r="C15" i="1"/>
  <c r="D15" i="1"/>
  <c r="E15" i="1"/>
  <c r="F15" i="1"/>
  <c r="G15" i="1"/>
  <c r="B1" i="1"/>
  <c r="C1" i="1"/>
  <c r="D1" i="1"/>
  <c r="E1" i="1"/>
  <c r="F1" i="1"/>
  <c r="G1" i="1"/>
  <c r="A1" i="1"/>
  <c r="I2" i="2" l="1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1" i="2"/>
</calcChain>
</file>

<file path=xl/sharedStrings.xml><?xml version="1.0" encoding="utf-8"?>
<sst xmlns="http://schemas.openxmlformats.org/spreadsheetml/2006/main" count="278" uniqueCount="94">
  <si>
    <t>华宝059</t>
  </si>
  <si>
    <t>陆家嘴91</t>
  </si>
  <si>
    <t>长安2016029</t>
  </si>
  <si>
    <t>长安2017069</t>
  </si>
  <si>
    <t>长安2017135</t>
  </si>
  <si>
    <t>长安2017175</t>
  </si>
  <si>
    <t>中航2018028</t>
  </si>
  <si>
    <t>陆家嘴8</t>
  </si>
  <si>
    <t>陆家嘴10</t>
  </si>
  <si>
    <t>陆家嘴85</t>
  </si>
  <si>
    <t>长安2017268</t>
  </si>
  <si>
    <t>长安2017269</t>
  </si>
  <si>
    <t>长安2017302</t>
  </si>
  <si>
    <t>长安2017353</t>
  </si>
  <si>
    <t>陆家嘴21</t>
  </si>
  <si>
    <t>长安2017529</t>
  </si>
  <si>
    <t>长安2017565</t>
  </si>
  <si>
    <t>长安2017613</t>
  </si>
  <si>
    <t>长安2018710</t>
  </si>
  <si>
    <t>长安2018771</t>
  </si>
  <si>
    <t>长安2018778</t>
  </si>
  <si>
    <t>长安2018780</t>
  </si>
  <si>
    <t>长安2018781</t>
  </si>
  <si>
    <t>长安2018793</t>
  </si>
  <si>
    <t>陆家嘴86</t>
  </si>
  <si>
    <t>长安2018809</t>
  </si>
  <si>
    <t>长安2018810</t>
  </si>
  <si>
    <t>长安2018816</t>
  </si>
  <si>
    <t>长安2018828</t>
  </si>
  <si>
    <t>长安2018831</t>
  </si>
  <si>
    <t>华宝003</t>
  </si>
  <si>
    <t>华宝005</t>
  </si>
  <si>
    <t>华宝008</t>
  </si>
  <si>
    <t>华宝011</t>
  </si>
  <si>
    <t>长安2018825</t>
  </si>
  <si>
    <t>华宝027</t>
  </si>
  <si>
    <t>华宝035</t>
  </si>
  <si>
    <t>长安2018869</t>
  </si>
  <si>
    <t>长安2017535</t>
  </si>
  <si>
    <t>华宝052</t>
  </si>
  <si>
    <t>华宝076</t>
  </si>
  <si>
    <t>华宝001</t>
  </si>
  <si>
    <t>长安2016028</t>
  </si>
  <si>
    <t>陆家嘴29</t>
  </si>
  <si>
    <t>陆家嘴31</t>
  </si>
  <si>
    <t>陆家嘴32</t>
  </si>
  <si>
    <t>陆家嘴34</t>
  </si>
  <si>
    <t>陆家嘴37</t>
  </si>
  <si>
    <t>陆家嘴45</t>
  </si>
  <si>
    <t>陆家嘴47</t>
  </si>
  <si>
    <t>陆家嘴50</t>
  </si>
  <si>
    <t>陆家嘴55</t>
  </si>
  <si>
    <t>陆家嘴16</t>
  </si>
  <si>
    <t>长安2018893</t>
  </si>
  <si>
    <t>长安2018751</t>
  </si>
  <si>
    <t>长安2018755</t>
  </si>
  <si>
    <t>长安2017562</t>
  </si>
  <si>
    <t>长安2017517</t>
  </si>
  <si>
    <t>陆家嘴66</t>
  </si>
  <si>
    <t>陆家嘴62</t>
  </si>
  <si>
    <t>长安2017306</t>
  </si>
  <si>
    <t>长安2018776</t>
  </si>
  <si>
    <t>陆家嘴信托</t>
    <phoneticPr fontId="2" type="noConversion"/>
  </si>
  <si>
    <t>长安信托</t>
  </si>
  <si>
    <t>中航信托</t>
    <phoneticPr fontId="2" type="noConversion"/>
  </si>
  <si>
    <t>华宝信托</t>
    <phoneticPr fontId="2" type="noConversion"/>
  </si>
  <si>
    <t>陆家嘴88</t>
    <phoneticPr fontId="2" type="noConversion"/>
  </si>
  <si>
    <t>陆家嘴21</t>
    <phoneticPr fontId="2" type="noConversion"/>
  </si>
  <si>
    <t>陆家嘴71</t>
    <phoneticPr fontId="2" type="noConversion"/>
  </si>
  <si>
    <t>陆家嘴10</t>
    <phoneticPr fontId="2" type="noConversion"/>
  </si>
  <si>
    <t>陆家嘴58</t>
    <phoneticPr fontId="2" type="noConversion"/>
  </si>
  <si>
    <t>华宝059</t>
    <phoneticPr fontId="2" type="noConversion"/>
  </si>
  <si>
    <t>长安2017269</t>
    <phoneticPr fontId="2" type="noConversion"/>
  </si>
  <si>
    <t>长安2016020</t>
    <phoneticPr fontId="2" type="noConversion"/>
  </si>
  <si>
    <t>华宝008</t>
    <phoneticPr fontId="2" type="noConversion"/>
  </si>
  <si>
    <t>陆家嘴65</t>
    <phoneticPr fontId="2" type="noConversion"/>
  </si>
  <si>
    <t>长安2018868</t>
    <phoneticPr fontId="2" type="noConversion"/>
  </si>
  <si>
    <t>长安2018859</t>
    <phoneticPr fontId="2" type="noConversion"/>
  </si>
  <si>
    <t>长安2018887</t>
    <phoneticPr fontId="2" type="noConversion"/>
  </si>
  <si>
    <t>长安2018885</t>
    <phoneticPr fontId="2" type="noConversion"/>
  </si>
  <si>
    <t>长安2017560</t>
    <phoneticPr fontId="2" type="noConversion"/>
  </si>
  <si>
    <t>长安2017260</t>
    <phoneticPr fontId="2" type="noConversion"/>
  </si>
  <si>
    <t>陆家嘴16</t>
    <phoneticPr fontId="2" type="noConversion"/>
  </si>
  <si>
    <t>华宝003</t>
    <phoneticPr fontId="2" type="noConversion"/>
  </si>
  <si>
    <t>陆家嘴</t>
  </si>
  <si>
    <t>陆家嘴</t>
    <phoneticPr fontId="2" type="noConversion"/>
  </si>
  <si>
    <t>长安</t>
  </si>
  <si>
    <t>中航</t>
  </si>
  <si>
    <t>华宝</t>
  </si>
  <si>
    <t>信托</t>
    <phoneticPr fontId="2" type="noConversion"/>
  </si>
  <si>
    <t>陆家嘴</t>
    <phoneticPr fontId="2" type="noConversion"/>
  </si>
  <si>
    <t>长安</t>
    <phoneticPr fontId="2" type="noConversion"/>
  </si>
  <si>
    <t>华宝</t>
    <phoneticPr fontId="2" type="noConversion"/>
  </si>
  <si>
    <t>中航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</si>
</sst>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0_ "/>
  </numFmts>
  <fonts count="5"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9"/>
      <name val="Calibri"/>
      <family val="2"/>
      <charset val="134"/>
      <scheme val="minor"/>
    </font>
    <font>
      <sz val="11"/>
      <color rgb="FF000000"/>
      <name val="Calibri"/>
      <family val="3"/>
      <charset val="134"/>
      <scheme val="minor"/>
    </font>
    <font>
      <sz val="11"/>
      <color rgb="FF000000"/>
      <name val="宋体"/>
      <charset val="13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/>
  </cellStyleXfs>
  <cellXfs count="14">
    <xf numFmtId="0" fontId="0" fillId="0" borderId="0" xfId="0">
      <alignment vertical="center"/>
    </xf>
    <xf numFmtId="164" fontId="0" fillId="0" borderId="1" xfId="0" applyNumberFormat="1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0" fontId="0" fillId="0" borderId="0" xfId="0" applyAlignment="1"/>
    <xf numFmtId="164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164" fontId="0" fillId="0" borderId="2" xfId="0" applyNumberFormat="1" applyFill="1" applyBorder="1" applyAlignment="1">
      <alignment horizontal="center" vertical="center"/>
    </xf>
    <xf numFmtId="164" fontId="0" fillId="2" borderId="1" xfId="0" applyNumberFormat="1" applyFont="1" applyFill="1" applyBorder="1" applyAlignment="1">
      <alignment horizontal="center" vertical="center"/>
    </xf>
    <xf numFmtId="164" fontId="0" fillId="3" borderId="1" xfId="0" applyNumberFormat="1" applyFont="1" applyFill="1" applyBorder="1" applyAlignment="1">
      <alignment horizontal="center" vertical="center"/>
    </xf>
    <xf numFmtId="10" fontId="0" fillId="0" borderId="1" xfId="1" applyNumberFormat="1" applyFont="1" applyBorder="1" applyAlignment="1">
      <alignment horizontal="center" vertical="center"/>
    </xf>
    <xf numFmtId="10" fontId="0" fillId="0" borderId="0" xfId="1" applyNumberFormat="1" applyFont="1" applyAlignment="1"/>
    <xf numFmtId="10" fontId="0" fillId="0" borderId="0" xfId="1" applyNumberFormat="1" applyFont="1" applyAlignment="1">
      <alignment vertic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85724</xdr:colOff>
          <xdr:row>7</xdr:row>
          <xdr:rowOff>19050</xdr:rowOff>
        </xdr:from>
        <xdr:to>
          <xdr:col>12</xdr:col>
          <xdr:colOff>342899</xdr:colOff>
          <xdr:row>10</xdr:row>
          <xdr:rowOff>9525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自动拆分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1488;&#36134;&#27169;&#26495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模板"/>
      <sheetName val="台账"/>
      <sheetName val="2021-4"/>
      <sheetName val="投资人账户信息"/>
      <sheetName val="费用账户信息"/>
    </sheetNames>
    <sheetDataSet>
      <sheetData sheetId="0">
        <row r="37">
          <cell r="B37" t="str">
            <v>投资者名称</v>
          </cell>
          <cell r="C37" t="str">
            <v>期初本金余额</v>
          </cell>
          <cell r="D37" t="str">
            <v>收益率</v>
          </cell>
          <cell r="E37" t="str">
            <v>利息</v>
          </cell>
          <cell r="F37" t="str">
            <v>兑付本金</v>
          </cell>
          <cell r="G37" t="str">
            <v>划款金额</v>
          </cell>
          <cell r="H37" t="str">
            <v>期末本金余额</v>
          </cell>
        </row>
        <row r="38">
          <cell r="B38" t="str">
            <v>北京银行</v>
          </cell>
          <cell r="C38">
            <v>990000000</v>
          </cell>
          <cell r="D38">
            <v>3.8899999999999997E-2</v>
          </cell>
          <cell r="E38">
            <v>1688153.42</v>
          </cell>
          <cell r="F38">
            <v>210662445.36000001</v>
          </cell>
          <cell r="G38">
            <v>212350598.78</v>
          </cell>
          <cell r="H38">
            <v>779337554.63999999</v>
          </cell>
        </row>
        <row r="39">
          <cell r="B39" t="str">
            <v>兴业银行</v>
          </cell>
          <cell r="C39">
            <v>920000000</v>
          </cell>
          <cell r="D39">
            <v>3.8899999999999997E-2</v>
          </cell>
          <cell r="E39">
            <v>1568789.04</v>
          </cell>
          <cell r="F39">
            <v>195767120.94</v>
          </cell>
          <cell r="G39">
            <v>197335909.97999999</v>
          </cell>
          <cell r="H39">
            <v>724232879.05999994</v>
          </cell>
        </row>
        <row r="40">
          <cell r="B40" t="str">
            <v>中信银行</v>
          </cell>
          <cell r="C40">
            <v>920000000</v>
          </cell>
          <cell r="D40">
            <v>3.8899999999999997E-2</v>
          </cell>
          <cell r="E40">
            <v>1568789.04</v>
          </cell>
          <cell r="F40">
            <v>195767120.94</v>
          </cell>
          <cell r="G40">
            <v>197335909.97999999</v>
          </cell>
          <cell r="H40">
            <v>724232879.05999994</v>
          </cell>
        </row>
        <row r="41">
          <cell r="B41" t="str">
            <v>上饶银行</v>
          </cell>
          <cell r="C41">
            <v>490000000</v>
          </cell>
          <cell r="D41">
            <v>3.8899999999999997E-2</v>
          </cell>
          <cell r="E41">
            <v>835550.68</v>
          </cell>
          <cell r="F41">
            <v>104267270.94</v>
          </cell>
          <cell r="G41">
            <v>105102821.62</v>
          </cell>
          <cell r="H41">
            <v>385732729.06</v>
          </cell>
        </row>
        <row r="42">
          <cell r="B42" t="str">
            <v>长沙银行</v>
          </cell>
          <cell r="C42">
            <v>300000000</v>
          </cell>
          <cell r="D42">
            <v>3.8899999999999997E-2</v>
          </cell>
          <cell r="E42">
            <v>511561.64</v>
          </cell>
          <cell r="F42">
            <v>63837104.649999999</v>
          </cell>
          <cell r="G42">
            <v>64348666.289999999</v>
          </cell>
          <cell r="H42">
            <v>236162895.34999999</v>
          </cell>
        </row>
        <row r="43">
          <cell r="B43" t="str">
            <v>广州银行</v>
          </cell>
          <cell r="C43">
            <v>200000000</v>
          </cell>
          <cell r="D43">
            <v>3.8899999999999997E-2</v>
          </cell>
          <cell r="E43">
            <v>341041.1</v>
          </cell>
          <cell r="F43">
            <v>42558069.770000003</v>
          </cell>
          <cell r="G43">
            <v>42899110.870000005</v>
          </cell>
          <cell r="H43">
            <v>157441930.22999999</v>
          </cell>
        </row>
        <row r="44">
          <cell r="B44" t="str">
            <v>台州银行</v>
          </cell>
          <cell r="C44">
            <v>150000000</v>
          </cell>
          <cell r="D44">
            <v>3.8899999999999997E-2</v>
          </cell>
          <cell r="E44">
            <v>255780.82</v>
          </cell>
          <cell r="F44">
            <v>31918552.329999998</v>
          </cell>
          <cell r="G44">
            <v>32174333.149999999</v>
          </cell>
          <cell r="H44">
            <v>118081447.67</v>
          </cell>
        </row>
        <row r="45">
          <cell r="C45">
            <v>3970000000</v>
          </cell>
          <cell r="E45">
            <v>6769665.7399999993</v>
          </cell>
          <cell r="F45">
            <v>844777684.93000007</v>
          </cell>
          <cell r="G45">
            <v>851547350.66999996</v>
          </cell>
          <cell r="H45">
            <v>3125222315.0699997</v>
          </cell>
        </row>
        <row r="46">
          <cell r="B46" t="str">
            <v>台州银行</v>
          </cell>
          <cell r="C46">
            <v>200000000</v>
          </cell>
          <cell r="D46">
            <v>4.1200000000000001E-2</v>
          </cell>
          <cell r="E46">
            <v>361205.48</v>
          </cell>
          <cell r="G46">
            <v>361205.48</v>
          </cell>
          <cell r="H46">
            <v>200000000</v>
          </cell>
        </row>
        <row r="47">
          <cell r="B47" t="str">
            <v>招商证券</v>
          </cell>
          <cell r="C47">
            <v>30000000</v>
          </cell>
          <cell r="D47">
            <v>4.1200000000000001E-2</v>
          </cell>
          <cell r="E47">
            <v>54180.82</v>
          </cell>
          <cell r="G47">
            <v>54180.82</v>
          </cell>
          <cell r="H47">
            <v>30000000</v>
          </cell>
        </row>
        <row r="48">
          <cell r="B48" t="str">
            <v>兴业银行长春分行</v>
          </cell>
          <cell r="C48">
            <v>120000000</v>
          </cell>
          <cell r="D48">
            <v>4.1200000000000001E-2</v>
          </cell>
          <cell r="E48">
            <v>216723.29</v>
          </cell>
          <cell r="G48">
            <v>216723.29</v>
          </cell>
          <cell r="H48">
            <v>120000000</v>
          </cell>
        </row>
        <row r="49">
          <cell r="B49" t="str">
            <v>东莞银行</v>
          </cell>
          <cell r="C49">
            <v>50000000</v>
          </cell>
          <cell r="D49">
            <v>4.1200000000000001E-2</v>
          </cell>
          <cell r="E49">
            <v>90301.37</v>
          </cell>
          <cell r="G49">
            <v>90301.37</v>
          </cell>
          <cell r="H49">
            <v>50000000</v>
          </cell>
        </row>
        <row r="50">
          <cell r="C50">
            <v>400000000</v>
          </cell>
          <cell r="E50">
            <v>722410.96</v>
          </cell>
          <cell r="F50">
            <v>0</v>
          </cell>
          <cell r="G50">
            <v>722410.96</v>
          </cell>
          <cell r="H50">
            <v>400000000</v>
          </cell>
        </row>
        <row r="51">
          <cell r="B51" t="str">
            <v>国泰君安证券</v>
          </cell>
          <cell r="C51">
            <v>75000000</v>
          </cell>
          <cell r="D51">
            <v>7.4999999999999997E-2</v>
          </cell>
          <cell r="G51">
            <v>0</v>
          </cell>
          <cell r="H51">
            <v>75000000</v>
          </cell>
        </row>
        <row r="52">
          <cell r="B52" t="str">
            <v>国盛证券</v>
          </cell>
          <cell r="C52">
            <v>20000000</v>
          </cell>
          <cell r="D52">
            <v>7.4999999999999997E-2</v>
          </cell>
          <cell r="G52">
            <v>0</v>
          </cell>
          <cell r="H52">
            <v>20000000</v>
          </cell>
        </row>
        <row r="53">
          <cell r="B53" t="str">
            <v>越秀金控资本管理公司</v>
          </cell>
          <cell r="C53">
            <v>220317366.05000001</v>
          </cell>
          <cell r="D53">
            <v>7.4999999999999997E-2</v>
          </cell>
          <cell r="G53">
            <v>0</v>
          </cell>
          <cell r="H53">
            <v>220317366.05000001</v>
          </cell>
        </row>
        <row r="54">
          <cell r="B54" t="str">
            <v>中金公司</v>
          </cell>
          <cell r="C54">
            <v>20000000</v>
          </cell>
          <cell r="D54">
            <v>7.4999999999999997E-2</v>
          </cell>
          <cell r="G54">
            <v>0</v>
          </cell>
          <cell r="H54">
            <v>20000000</v>
          </cell>
        </row>
        <row r="55">
          <cell r="B55" t="str">
            <v>兴业资产管理公司</v>
          </cell>
          <cell r="C55">
            <v>260000000</v>
          </cell>
          <cell r="D55">
            <v>7.4999999999999997E-2</v>
          </cell>
          <cell r="G55">
            <v>0</v>
          </cell>
          <cell r="H55">
            <v>260000000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V117"/>
  <sheetViews>
    <sheetView tabSelected="1" workbookViewId="0">
      <selection activeCell="G14" sqref="G14"/>
    </sheetView>
  </sheetViews>
  <sheetFormatPr defaultRowHeight="15"/>
  <cols>
    <col min="1" max="1" width="22.85546875" bestFit="1" customWidth="1"/>
    <col min="2" max="2" width="15.85546875" bestFit="1" customWidth="1"/>
    <col min="3" max="3" width="7.42578125" style="13" bestFit="1" customWidth="1"/>
    <col min="4" max="4" width="12.140625" bestFit="1" customWidth="1"/>
    <col min="5" max="6" width="14.28515625" bestFit="1" customWidth="1"/>
    <col min="7" max="7" width="15.85546875" bestFit="1" customWidth="1"/>
  </cols>
  <sheetData>
    <row r="1" spans="1:204">
      <c r="A1" s="1" t="str">
        <f>[1]模板!B37</f>
        <v>投资者名称</v>
      </c>
      <c r="B1" s="1" t="str">
        <f>[1]模板!C37</f>
        <v>期初本金余额</v>
      </c>
      <c r="C1" s="11" t="str">
        <f>[1]模板!D37</f>
        <v>收益率</v>
      </c>
      <c r="D1" s="1" t="str">
        <f>[1]模板!E37</f>
        <v>利息</v>
      </c>
      <c r="E1" s="1" t="str">
        <f>[1]模板!F37</f>
        <v>兑付本金</v>
      </c>
      <c r="F1" s="1" t="str">
        <f>[1]模板!G37</f>
        <v>划款金额</v>
      </c>
      <c r="G1" s="1" t="str">
        <f>[1]模板!H37</f>
        <v>期末本金余额</v>
      </c>
    </row>
    <row r="2" spans="1:204">
      <c r="A2" s="1" t="str">
        <f>[1]模板!B38</f>
        <v>北京银行</v>
      </c>
      <c r="B2" s="1">
        <f>[1]模板!C38</f>
        <v>990000000</v>
      </c>
      <c r="C2" s="11">
        <f>[1]模板!D38</f>
        <v>3.8899999999999997E-2</v>
      </c>
      <c r="D2" s="1">
        <f>[1]模板!E38</f>
        <v>1688153.42</v>
      </c>
      <c r="E2" s="1">
        <f>[1]模板!F38</f>
        <v>210662445.36000001</v>
      </c>
      <c r="F2" s="1">
        <f>[1]模板!G38</f>
        <v>212350598.78</v>
      </c>
      <c r="G2" s="1">
        <f>[1]模板!H38</f>
        <v>779337554.63999999</v>
      </c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</row>
    <row r="3" spans="1:204">
      <c r="A3" s="1" t="str">
        <f>[1]模板!B39</f>
        <v>兴业银行</v>
      </c>
      <c r="B3" s="1">
        <f>[1]模板!C39</f>
        <v>920000000</v>
      </c>
      <c r="C3" s="11">
        <f>[1]模板!D39</f>
        <v>3.8899999999999997E-2</v>
      </c>
      <c r="D3" s="1">
        <f>[1]模板!E39</f>
        <v>1568789.04</v>
      </c>
      <c r="E3" s="1">
        <f>[1]模板!F39</f>
        <v>195767120.94</v>
      </c>
      <c r="F3" s="1">
        <f>[1]模板!G39</f>
        <v>197335909.97999999</v>
      </c>
      <c r="G3" s="1">
        <f>[1]模板!H39</f>
        <v>724232879.05999994</v>
      </c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</row>
    <row r="4" spans="1:204">
      <c r="A4" s="1" t="str">
        <f>[1]模板!B40</f>
        <v>中信银行</v>
      </c>
      <c r="B4" s="1">
        <f>[1]模板!C40</f>
        <v>920000000</v>
      </c>
      <c r="C4" s="11">
        <f>[1]模板!D40</f>
        <v>3.8899999999999997E-2</v>
      </c>
      <c r="D4" s="1">
        <f>[1]模板!E40</f>
        <v>1568789.04</v>
      </c>
      <c r="E4" s="1">
        <f>[1]模板!F40</f>
        <v>195767120.94</v>
      </c>
      <c r="F4" s="1">
        <f>[1]模板!G40</f>
        <v>197335909.97999999</v>
      </c>
      <c r="G4" s="1">
        <f>[1]模板!H40</f>
        <v>724232879.05999994</v>
      </c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</row>
    <row r="5" spans="1:204">
      <c r="A5" s="1" t="str">
        <f>[1]模板!B41</f>
        <v>上饶银行</v>
      </c>
      <c r="B5" s="1">
        <f>[1]模板!C41</f>
        <v>490000000</v>
      </c>
      <c r="C5" s="11">
        <f>[1]模板!D41</f>
        <v>3.8899999999999997E-2</v>
      </c>
      <c r="D5" s="1">
        <f>[1]模板!E41</f>
        <v>835550.68</v>
      </c>
      <c r="E5" s="1">
        <f>[1]模板!F41</f>
        <v>104267270.94</v>
      </c>
      <c r="F5" s="1">
        <f>[1]模板!G41</f>
        <v>105102821.62</v>
      </c>
      <c r="G5" s="1">
        <f>[1]模板!H41</f>
        <v>385732729.06</v>
      </c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</row>
    <row r="6" spans="1:204">
      <c r="A6" s="1" t="str">
        <f>[1]模板!B42</f>
        <v>长沙银行</v>
      </c>
      <c r="B6" s="1">
        <f>[1]模板!C42</f>
        <v>300000000</v>
      </c>
      <c r="C6" s="11">
        <f>[1]模板!D42</f>
        <v>3.8899999999999997E-2</v>
      </c>
      <c r="D6" s="1">
        <f>[1]模板!E42</f>
        <v>511561.64</v>
      </c>
      <c r="E6" s="1">
        <f>[1]模板!F42</f>
        <v>63837104.649999999</v>
      </c>
      <c r="F6" s="1">
        <f>[1]模板!G42</f>
        <v>64348666.289999999</v>
      </c>
      <c r="G6" s="1">
        <f>[1]模板!H42</f>
        <v>236162895.34999999</v>
      </c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</row>
    <row r="7" spans="1:204">
      <c r="A7" s="1" t="str">
        <f>[1]模板!B43</f>
        <v>广州银行</v>
      </c>
      <c r="B7" s="1">
        <f>[1]模板!C43</f>
        <v>200000000</v>
      </c>
      <c r="C7" s="11">
        <f>[1]模板!D43</f>
        <v>3.8899999999999997E-2</v>
      </c>
      <c r="D7" s="1">
        <f>[1]模板!E43</f>
        <v>341041.1</v>
      </c>
      <c r="E7" s="1">
        <f>[1]模板!F43</f>
        <v>42558069.770000003</v>
      </c>
      <c r="F7" s="1">
        <f>[1]模板!G43</f>
        <v>42899110.870000005</v>
      </c>
      <c r="G7" s="1">
        <f>[1]模板!H43</f>
        <v>157441930.22999999</v>
      </c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</row>
    <row r="8" spans="1:204">
      <c r="A8" s="1" t="str">
        <f>[1]模板!B44</f>
        <v>台州银行</v>
      </c>
      <c r="B8" s="1">
        <f>[1]模板!C44</f>
        <v>150000000</v>
      </c>
      <c r="C8" s="11">
        <f>[1]模板!D44</f>
        <v>3.8899999999999997E-2</v>
      </c>
      <c r="D8" s="1">
        <f>[1]模板!E44</f>
        <v>255780.82</v>
      </c>
      <c r="E8" s="1">
        <f>[1]模板!F44</f>
        <v>31918552.329999998</v>
      </c>
      <c r="F8" s="1">
        <f>[1]模板!G44</f>
        <v>32174333.149999999</v>
      </c>
      <c r="G8" s="1">
        <f>[1]模板!H44</f>
        <v>118081447.67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</row>
    <row r="9" spans="1:204">
      <c r="A9" s="1">
        <f>[1]模板!B45</f>
        <v>0</v>
      </c>
      <c r="B9" s="1">
        <f>[1]模板!C45</f>
        <v>3970000000</v>
      </c>
      <c r="C9" s="11">
        <f>[1]模板!D45</f>
        <v>0</v>
      </c>
      <c r="D9" s="1">
        <f>[1]模板!E45</f>
        <v>6769665.7399999993</v>
      </c>
      <c r="E9" s="1">
        <f>[1]模板!F45</f>
        <v>844777684.93000007</v>
      </c>
      <c r="F9" s="1">
        <f>[1]模板!G45</f>
        <v>851547350.66999996</v>
      </c>
      <c r="G9" s="1">
        <f>[1]模板!H45</f>
        <v>3125222315.0699997</v>
      </c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</row>
    <row r="10" spans="1:204">
      <c r="A10" s="1" t="str">
        <f>[1]模板!B46</f>
        <v>台州银行</v>
      </c>
      <c r="B10" s="1">
        <f>[1]模板!C46</f>
        <v>200000000</v>
      </c>
      <c r="C10" s="11">
        <f>[1]模板!D46</f>
        <v>4.1200000000000001E-2</v>
      </c>
      <c r="D10" s="1">
        <f>[1]模板!E46</f>
        <v>361205.48</v>
      </c>
      <c r="E10" s="1">
        <f>[1]模板!F46</f>
        <v>0</v>
      </c>
      <c r="F10" s="1">
        <f>[1]模板!G46</f>
        <v>361205.48</v>
      </c>
      <c r="G10" s="1">
        <f>[1]模板!H46</f>
        <v>200000000</v>
      </c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</row>
    <row r="11" spans="1:204">
      <c r="A11" s="1" t="str">
        <f>[1]模板!B47</f>
        <v>招商证券</v>
      </c>
      <c r="B11" s="1">
        <f>[1]模板!C47</f>
        <v>30000000</v>
      </c>
      <c r="C11" s="11">
        <f>[1]模板!D47</f>
        <v>4.1200000000000001E-2</v>
      </c>
      <c r="D11" s="1">
        <f>[1]模板!E47</f>
        <v>54180.82</v>
      </c>
      <c r="E11" s="1">
        <f>[1]模板!F47</f>
        <v>0</v>
      </c>
      <c r="F11" s="1">
        <f>[1]模板!G47</f>
        <v>54180.82</v>
      </c>
      <c r="G11" s="1">
        <f>[1]模板!H47</f>
        <v>30000000</v>
      </c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</row>
    <row r="12" spans="1:204">
      <c r="A12" s="1" t="str">
        <f>[1]模板!B48</f>
        <v>兴业银行长春分行</v>
      </c>
      <c r="B12" s="1">
        <f>[1]模板!C48</f>
        <v>120000000</v>
      </c>
      <c r="C12" s="11">
        <f>[1]模板!D48</f>
        <v>4.1200000000000001E-2</v>
      </c>
      <c r="D12" s="1">
        <f>[1]模板!E48</f>
        <v>216723.29</v>
      </c>
      <c r="E12" s="1">
        <f>[1]模板!F48</f>
        <v>0</v>
      </c>
      <c r="F12" s="1">
        <f>[1]模板!G48</f>
        <v>216723.29</v>
      </c>
      <c r="G12" s="1">
        <f>[1]模板!H48</f>
        <v>120000000</v>
      </c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</row>
    <row r="13" spans="1:204">
      <c r="A13" s="1" t="str">
        <f>[1]模板!B49</f>
        <v>东莞银行</v>
      </c>
      <c r="B13" s="1">
        <f>[1]模板!C49</f>
        <v>50000000</v>
      </c>
      <c r="C13" s="11">
        <f>[1]模板!D49</f>
        <v>4.1200000000000001E-2</v>
      </c>
      <c r="D13" s="1">
        <f>[1]模板!E49</f>
        <v>90301.37</v>
      </c>
      <c r="E13" s="1">
        <f>[1]模板!F49</f>
        <v>0</v>
      </c>
      <c r="F13" s="1">
        <f>[1]模板!G49</f>
        <v>90301.37</v>
      </c>
      <c r="G13" s="1">
        <f>[1]模板!H49</f>
        <v>50000000</v>
      </c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</row>
    <row r="14" spans="1:204">
      <c r="A14" s="1">
        <f>[1]模板!B50</f>
        <v>0</v>
      </c>
      <c r="B14" s="1">
        <f>[1]模板!C50</f>
        <v>400000000</v>
      </c>
      <c r="C14" s="11">
        <f>[1]模板!D50</f>
        <v>0</v>
      </c>
      <c r="D14" s="1">
        <f>[1]模板!E50</f>
        <v>722410.96</v>
      </c>
      <c r="E14" s="1">
        <f>[1]模板!F50</f>
        <v>0</v>
      </c>
      <c r="F14" s="1">
        <f>[1]模板!G50</f>
        <v>722410.96</v>
      </c>
      <c r="G14" s="1">
        <f>[1]模板!H50</f>
        <v>400000000</v>
      </c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</row>
    <row r="15" spans="1:204">
      <c r="A15" s="1" t="str">
        <f>[1]模板!B51</f>
        <v>国泰君安证券</v>
      </c>
      <c r="B15" s="1">
        <f>[1]模板!C51</f>
        <v>75000000</v>
      </c>
      <c r="C15" s="11">
        <f>[1]模板!D51</f>
        <v>7.4999999999999997E-2</v>
      </c>
      <c r="D15" s="1">
        <f>[1]模板!E51</f>
        <v>0</v>
      </c>
      <c r="E15" s="1">
        <f>[1]模板!F51</f>
        <v>0</v>
      </c>
      <c r="F15" s="1">
        <f>[1]模板!G51</f>
        <v>0</v>
      </c>
      <c r="G15" s="1">
        <f>[1]模板!H51</f>
        <v>75000000</v>
      </c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</row>
    <row r="16" spans="1:204">
      <c r="A16" s="1" t="str">
        <f>[1]模板!B52</f>
        <v>国盛证券</v>
      </c>
      <c r="B16" s="1">
        <f>[1]模板!C52</f>
        <v>20000000</v>
      </c>
      <c r="C16" s="11">
        <f>[1]模板!D52</f>
        <v>7.4999999999999997E-2</v>
      </c>
      <c r="D16" s="1">
        <f>[1]模板!E52</f>
        <v>0</v>
      </c>
      <c r="E16" s="1">
        <f>[1]模板!F52</f>
        <v>0</v>
      </c>
      <c r="F16" s="1">
        <f>[1]模板!G52</f>
        <v>0</v>
      </c>
      <c r="G16" s="1">
        <f>[1]模板!H52</f>
        <v>20000000</v>
      </c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</row>
    <row r="17" spans="1:204">
      <c r="A17" s="1" t="str">
        <f>[1]模板!B53</f>
        <v>越秀金控资本管理公司</v>
      </c>
      <c r="B17" s="1">
        <f>[1]模板!C53</f>
        <v>220317366.05000001</v>
      </c>
      <c r="C17" s="11">
        <f>[1]模板!D53</f>
        <v>7.4999999999999997E-2</v>
      </c>
      <c r="D17" s="1">
        <f>[1]模板!E53</f>
        <v>0</v>
      </c>
      <c r="E17" s="1">
        <f>[1]模板!F53</f>
        <v>0</v>
      </c>
      <c r="F17" s="1">
        <f>[1]模板!G53</f>
        <v>0</v>
      </c>
      <c r="G17" s="1">
        <f>[1]模板!H53</f>
        <v>220317366.05000001</v>
      </c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</row>
    <row r="18" spans="1:204">
      <c r="A18" s="1" t="str">
        <f>[1]模板!B54</f>
        <v>中金公司</v>
      </c>
      <c r="B18" s="1">
        <f>[1]模板!C54</f>
        <v>20000000</v>
      </c>
      <c r="C18" s="11">
        <f>[1]模板!D54</f>
        <v>7.4999999999999997E-2</v>
      </c>
      <c r="D18" s="1">
        <f>[1]模板!E54</f>
        <v>0</v>
      </c>
      <c r="E18" s="1">
        <f>[1]模板!F54</f>
        <v>0</v>
      </c>
      <c r="F18" s="1">
        <f>[1]模板!G54</f>
        <v>0</v>
      </c>
      <c r="G18" s="1">
        <f>[1]模板!H54</f>
        <v>20000000</v>
      </c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</row>
    <row r="19" spans="1:204">
      <c r="A19" s="1" t="str">
        <f>[1]模板!B55</f>
        <v>兴业资产管理公司</v>
      </c>
      <c r="B19" s="1">
        <f>[1]模板!C55</f>
        <v>260000000</v>
      </c>
      <c r="C19" s="11">
        <f>[1]模板!D55</f>
        <v>7.4999999999999997E-2</v>
      </c>
      <c r="D19" s="1">
        <f>[1]模板!E55</f>
        <v>0</v>
      </c>
      <c r="E19" s="1">
        <f>[1]模板!F55</f>
        <v>0</v>
      </c>
      <c r="F19" s="1">
        <f>[1]模板!G55</f>
        <v>0</v>
      </c>
      <c r="G19" s="1">
        <f>[1]模板!H55</f>
        <v>260000000</v>
      </c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</row>
    <row r="20" spans="1:204">
      <c r="B20" s="4"/>
      <c r="C20" s="12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</row>
    <row r="21" spans="1:204">
      <c r="B21" s="4"/>
      <c r="C21" s="12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</row>
    <row r="22" spans="1:204">
      <c r="B22" s="4"/>
      <c r="C22" s="12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</row>
    <row r="23" spans="1:204">
      <c r="B23" s="4"/>
      <c r="C23" s="12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</row>
    <row r="24" spans="1:204">
      <c r="B24" s="4"/>
      <c r="C24" s="12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</row>
    <row r="25" spans="1:204">
      <c r="B25" s="4"/>
      <c r="C25" s="12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</row>
    <row r="26" spans="1:204">
      <c r="B26" s="4"/>
      <c r="C26" s="12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</row>
    <row r="27" spans="1:204">
      <c r="B27" s="4"/>
      <c r="C27" s="12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</row>
    <row r="28" spans="1:204">
      <c r="B28" s="4"/>
      <c r="C28" s="12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</row>
    <row r="29" spans="1:204">
      <c r="B29" s="4"/>
      <c r="C29" s="12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</row>
    <row r="30" spans="1:204">
      <c r="B30" s="4"/>
      <c r="C30" s="12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</row>
    <row r="31" spans="1:204">
      <c r="B31" s="4"/>
      <c r="C31" s="12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</row>
    <row r="32" spans="1:204">
      <c r="B32" s="4"/>
      <c r="C32" s="12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</row>
    <row r="33" spans="2:204">
      <c r="B33" s="4"/>
      <c r="C33" s="12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</row>
    <row r="34" spans="2:204">
      <c r="B34" s="4"/>
      <c r="C34" s="12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</row>
    <row r="35" spans="2:204">
      <c r="B35" s="4"/>
      <c r="C35" s="12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</row>
    <row r="36" spans="2:204">
      <c r="B36" s="4"/>
      <c r="C36" s="12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</row>
    <row r="37" spans="2:204">
      <c r="B37" s="4"/>
      <c r="C37" s="12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</row>
    <row r="38" spans="2:204">
      <c r="B38" s="4"/>
      <c r="C38" s="12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</row>
    <row r="39" spans="2:204">
      <c r="B39" s="4"/>
      <c r="C39" s="12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</row>
    <row r="40" spans="2:204">
      <c r="B40" s="4"/>
      <c r="C40" s="12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</row>
    <row r="41" spans="2:204">
      <c r="B41" s="4"/>
      <c r="C41" s="12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</row>
    <row r="42" spans="2:204">
      <c r="B42" s="4"/>
      <c r="C42" s="12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</row>
    <row r="43" spans="2:204">
      <c r="B43" s="4"/>
      <c r="C43" s="12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</row>
    <row r="44" spans="2:204">
      <c r="B44" s="4"/>
      <c r="C44" s="12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</row>
    <row r="45" spans="2:204">
      <c r="B45" s="4"/>
      <c r="C45" s="12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</row>
    <row r="46" spans="2:204">
      <c r="B46" s="4"/>
      <c r="C46" s="12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</row>
    <row r="47" spans="2:204">
      <c r="B47" s="4"/>
      <c r="C47" s="12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</row>
    <row r="48" spans="2:204">
      <c r="B48" s="4"/>
      <c r="C48" s="12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</row>
    <row r="49" spans="2:204">
      <c r="B49" s="4"/>
      <c r="C49" s="12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</row>
    <row r="50" spans="2:204">
      <c r="B50" s="4"/>
      <c r="C50" s="12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</row>
    <row r="51" spans="2:204">
      <c r="B51" s="4"/>
      <c r="C51" s="12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</row>
    <row r="52" spans="2:204">
      <c r="B52" s="4"/>
      <c r="C52" s="12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</row>
    <row r="53" spans="2:204">
      <c r="B53" s="4"/>
      <c r="C53" s="12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</row>
    <row r="54" spans="2:204">
      <c r="B54" s="4"/>
      <c r="C54" s="12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</row>
    <row r="55" spans="2:204">
      <c r="B55" s="4"/>
      <c r="C55" s="12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</row>
    <row r="56" spans="2:204">
      <c r="B56" s="4"/>
      <c r="C56" s="12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</row>
    <row r="57" spans="2:204">
      <c r="B57" s="4"/>
      <c r="C57" s="12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</row>
    <row r="58" spans="2:204">
      <c r="B58" s="4"/>
      <c r="C58" s="12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</row>
    <row r="59" spans="2:204">
      <c r="B59" s="4"/>
      <c r="C59" s="12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</row>
    <row r="60" spans="2:204">
      <c r="B60" s="4"/>
      <c r="C60" s="12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</row>
    <row r="61" spans="2:204">
      <c r="B61" s="4"/>
      <c r="C61" s="12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</row>
    <row r="62" spans="2:204">
      <c r="B62" s="4"/>
      <c r="C62" s="12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</row>
    <row r="63" spans="2:204">
      <c r="B63" s="4"/>
      <c r="C63" s="12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</row>
    <row r="64" spans="2:204">
      <c r="B64" s="4"/>
      <c r="C64" s="12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</row>
    <row r="65" spans="2:204">
      <c r="B65" s="4"/>
      <c r="C65" s="12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</row>
    <row r="66" spans="2:204">
      <c r="B66" s="4"/>
      <c r="C66" s="12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</row>
    <row r="114" spans="1:1">
      <c r="A114" t="s">
        <v>90</v>
      </c>
    </row>
    <row r="115" spans="1:1">
      <c r="A115" t="s">
        <v>91</v>
      </c>
    </row>
    <row r="116" spans="1:1">
      <c r="A116" t="s">
        <v>92</v>
      </c>
    </row>
    <row r="117" spans="1:1">
      <c r="A117" t="s">
        <v>93</v>
      </c>
    </row>
  </sheetData>
  <phoneticPr fontId="2" type="noConversion"/>
  <pageMargins left="0.7" right="0.7" top="0.75" bottom="0.75" header="0.3" footer="0.3"/>
  <pageSetup paperSize="9"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工作表拆分">
                <anchor moveWithCells="1" sizeWithCells="1">
                  <from>
                    <xdr:col>10</xdr:col>
                    <xdr:colOff>85725</xdr:colOff>
                    <xdr:row>7</xdr:row>
                    <xdr:rowOff>19050</xdr:rowOff>
                  </from>
                  <to>
                    <xdr:col>12</xdr:col>
                    <xdr:colOff>342900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90"/>
  <sheetViews>
    <sheetView workbookViewId="0">
      <selection activeCell="I1" sqref="I1:I90"/>
    </sheetView>
  </sheetViews>
  <sheetFormatPr defaultRowHeight="15"/>
  <cols>
    <col min="1" max="1" width="11" bestFit="1" customWidth="1"/>
    <col min="6" max="6" width="12.42578125" bestFit="1" customWidth="1"/>
  </cols>
  <sheetData>
    <row r="1" spans="1:9">
      <c r="A1" s="7" t="s">
        <v>63</v>
      </c>
      <c r="F1" s="5" t="s">
        <v>1</v>
      </c>
      <c r="G1" t="s">
        <v>85</v>
      </c>
      <c r="H1" t="s">
        <v>89</v>
      </c>
      <c r="I1" t="str">
        <f t="shared" ref="I1:I65" si="0">G1&amp;H1</f>
        <v>陆家嘴信托</v>
      </c>
    </row>
    <row r="2" spans="1:9">
      <c r="A2" s="7" t="s">
        <v>64</v>
      </c>
      <c r="F2" s="1" t="s">
        <v>2</v>
      </c>
      <c r="G2" t="s">
        <v>86</v>
      </c>
      <c r="H2" t="s">
        <v>89</v>
      </c>
      <c r="I2" t="str">
        <f t="shared" si="0"/>
        <v>长安信托</v>
      </c>
    </row>
    <row r="3" spans="1:9">
      <c r="A3" s="7" t="s">
        <v>65</v>
      </c>
      <c r="F3" s="1" t="s">
        <v>3</v>
      </c>
      <c r="G3" t="s">
        <v>86</v>
      </c>
      <c r="H3" t="s">
        <v>89</v>
      </c>
      <c r="I3" t="str">
        <f t="shared" si="0"/>
        <v>长安信托</v>
      </c>
    </row>
    <row r="4" spans="1:9">
      <c r="A4" s="7" t="s">
        <v>62</v>
      </c>
      <c r="F4" s="5" t="s">
        <v>4</v>
      </c>
      <c r="G4" t="s">
        <v>86</v>
      </c>
      <c r="H4" t="s">
        <v>89</v>
      </c>
      <c r="I4" t="str">
        <f t="shared" si="0"/>
        <v>长安信托</v>
      </c>
    </row>
    <row r="5" spans="1:9">
      <c r="F5" s="5" t="s">
        <v>5</v>
      </c>
      <c r="G5" t="s">
        <v>86</v>
      </c>
      <c r="H5" t="s">
        <v>89</v>
      </c>
      <c r="I5" t="str">
        <f t="shared" si="0"/>
        <v>长安信托</v>
      </c>
    </row>
    <row r="6" spans="1:9">
      <c r="F6" s="5" t="s">
        <v>66</v>
      </c>
      <c r="G6" t="s">
        <v>84</v>
      </c>
      <c r="H6" t="s">
        <v>89</v>
      </c>
      <c r="I6" t="str">
        <f t="shared" si="0"/>
        <v>陆家嘴信托</v>
      </c>
    </row>
    <row r="7" spans="1:9">
      <c r="F7" s="5" t="s">
        <v>6</v>
      </c>
      <c r="G7" t="s">
        <v>87</v>
      </c>
      <c r="H7" t="s">
        <v>89</v>
      </c>
      <c r="I7" t="str">
        <f t="shared" si="0"/>
        <v>中航信托</v>
      </c>
    </row>
    <row r="8" spans="1:9">
      <c r="F8" s="5" t="s">
        <v>7</v>
      </c>
      <c r="G8" t="s">
        <v>84</v>
      </c>
      <c r="H8" t="s">
        <v>89</v>
      </c>
      <c r="I8" t="str">
        <f t="shared" si="0"/>
        <v>陆家嘴信托</v>
      </c>
    </row>
    <row r="9" spans="1:9">
      <c r="F9" s="5" t="s">
        <v>8</v>
      </c>
      <c r="G9" t="s">
        <v>84</v>
      </c>
      <c r="H9" t="s">
        <v>89</v>
      </c>
      <c r="I9" t="str">
        <f t="shared" si="0"/>
        <v>陆家嘴信托</v>
      </c>
    </row>
    <row r="10" spans="1:9">
      <c r="F10" s="5" t="s">
        <v>9</v>
      </c>
      <c r="G10" t="s">
        <v>84</v>
      </c>
      <c r="H10" t="s">
        <v>89</v>
      </c>
      <c r="I10" t="str">
        <f t="shared" si="0"/>
        <v>陆家嘴信托</v>
      </c>
    </row>
    <row r="11" spans="1:9">
      <c r="F11" s="5" t="s">
        <v>10</v>
      </c>
      <c r="G11" t="s">
        <v>86</v>
      </c>
      <c r="H11" t="s">
        <v>89</v>
      </c>
      <c r="I11" t="str">
        <f t="shared" si="0"/>
        <v>长安信托</v>
      </c>
    </row>
    <row r="12" spans="1:9">
      <c r="F12" s="5" t="s">
        <v>11</v>
      </c>
      <c r="G12" t="s">
        <v>86</v>
      </c>
      <c r="H12" t="s">
        <v>89</v>
      </c>
      <c r="I12" t="str">
        <f t="shared" si="0"/>
        <v>长安信托</v>
      </c>
    </row>
    <row r="13" spans="1:9">
      <c r="F13" s="5" t="s">
        <v>12</v>
      </c>
      <c r="G13" t="s">
        <v>86</v>
      </c>
      <c r="H13" t="s">
        <v>89</v>
      </c>
      <c r="I13" t="str">
        <f t="shared" si="0"/>
        <v>长安信托</v>
      </c>
    </row>
    <row r="14" spans="1:9">
      <c r="F14" s="5" t="s">
        <v>13</v>
      </c>
      <c r="G14" t="s">
        <v>86</v>
      </c>
      <c r="H14" t="s">
        <v>89</v>
      </c>
      <c r="I14" t="str">
        <f t="shared" si="0"/>
        <v>长安信托</v>
      </c>
    </row>
    <row r="15" spans="1:9">
      <c r="F15" s="5" t="s">
        <v>14</v>
      </c>
      <c r="G15" t="s">
        <v>84</v>
      </c>
      <c r="H15" t="s">
        <v>89</v>
      </c>
      <c r="I15" t="str">
        <f t="shared" si="0"/>
        <v>陆家嘴信托</v>
      </c>
    </row>
    <row r="16" spans="1:9">
      <c r="F16" s="5" t="s">
        <v>15</v>
      </c>
      <c r="G16" t="s">
        <v>86</v>
      </c>
      <c r="H16" t="s">
        <v>89</v>
      </c>
      <c r="I16" t="str">
        <f t="shared" si="0"/>
        <v>长安信托</v>
      </c>
    </row>
    <row r="17" spans="6:9">
      <c r="F17" s="5" t="s">
        <v>16</v>
      </c>
      <c r="G17" t="s">
        <v>86</v>
      </c>
      <c r="H17" t="s">
        <v>89</v>
      </c>
      <c r="I17" t="str">
        <f t="shared" si="0"/>
        <v>长安信托</v>
      </c>
    </row>
    <row r="18" spans="6:9">
      <c r="F18" s="5" t="s">
        <v>17</v>
      </c>
      <c r="G18" t="s">
        <v>86</v>
      </c>
      <c r="H18" t="s">
        <v>89</v>
      </c>
      <c r="I18" t="str">
        <f t="shared" si="0"/>
        <v>长安信托</v>
      </c>
    </row>
    <row r="19" spans="6:9">
      <c r="F19" s="2" t="s">
        <v>18</v>
      </c>
      <c r="G19" t="s">
        <v>86</v>
      </c>
      <c r="H19" t="s">
        <v>89</v>
      </c>
      <c r="I19" t="str">
        <f t="shared" si="0"/>
        <v>长安信托</v>
      </c>
    </row>
    <row r="20" spans="6:9">
      <c r="F20" s="3" t="s">
        <v>67</v>
      </c>
      <c r="G20" t="s">
        <v>84</v>
      </c>
      <c r="H20" t="s">
        <v>89</v>
      </c>
      <c r="I20" t="str">
        <f t="shared" si="0"/>
        <v>陆家嘴信托</v>
      </c>
    </row>
    <row r="21" spans="6:9">
      <c r="F21" s="3" t="s">
        <v>68</v>
      </c>
      <c r="G21" t="s">
        <v>84</v>
      </c>
      <c r="H21" t="s">
        <v>89</v>
      </c>
      <c r="I21" t="str">
        <f t="shared" si="0"/>
        <v>陆家嘴信托</v>
      </c>
    </row>
    <row r="22" spans="6:9">
      <c r="F22" s="3" t="s">
        <v>69</v>
      </c>
      <c r="G22" t="s">
        <v>84</v>
      </c>
      <c r="H22" t="s">
        <v>89</v>
      </c>
      <c r="I22" t="str">
        <f t="shared" si="0"/>
        <v>陆家嘴信托</v>
      </c>
    </row>
    <row r="23" spans="6:9">
      <c r="F23" s="5" t="s">
        <v>70</v>
      </c>
      <c r="G23" t="s">
        <v>84</v>
      </c>
      <c r="H23" t="s">
        <v>89</v>
      </c>
      <c r="I23" t="str">
        <f t="shared" si="0"/>
        <v>陆家嘴信托</v>
      </c>
    </row>
    <row r="24" spans="6:9">
      <c r="F24" s="5" t="s">
        <v>68</v>
      </c>
      <c r="G24" t="s">
        <v>84</v>
      </c>
      <c r="H24" t="s">
        <v>89</v>
      </c>
      <c r="I24" t="str">
        <f t="shared" si="0"/>
        <v>陆家嘴信托</v>
      </c>
    </row>
    <row r="25" spans="6:9">
      <c r="F25" s="5" t="s">
        <v>19</v>
      </c>
      <c r="G25" t="s">
        <v>86</v>
      </c>
      <c r="H25" t="s">
        <v>89</v>
      </c>
      <c r="I25" t="str">
        <f t="shared" si="0"/>
        <v>长安信托</v>
      </c>
    </row>
    <row r="26" spans="6:9">
      <c r="F26" s="5" t="s">
        <v>20</v>
      </c>
      <c r="G26" t="s">
        <v>86</v>
      </c>
      <c r="H26" t="s">
        <v>89</v>
      </c>
      <c r="I26" t="str">
        <f t="shared" si="0"/>
        <v>长安信托</v>
      </c>
    </row>
    <row r="27" spans="6:9">
      <c r="F27" s="5" t="s">
        <v>21</v>
      </c>
      <c r="G27" t="s">
        <v>86</v>
      </c>
      <c r="H27" t="s">
        <v>89</v>
      </c>
      <c r="I27" t="str">
        <f t="shared" si="0"/>
        <v>长安信托</v>
      </c>
    </row>
    <row r="28" spans="6:9">
      <c r="F28" s="5" t="s">
        <v>22</v>
      </c>
      <c r="G28" t="s">
        <v>86</v>
      </c>
      <c r="H28" t="s">
        <v>89</v>
      </c>
      <c r="I28" t="str">
        <f t="shared" si="0"/>
        <v>长安信托</v>
      </c>
    </row>
    <row r="29" spans="6:9">
      <c r="F29" s="5" t="s">
        <v>23</v>
      </c>
      <c r="G29" t="s">
        <v>86</v>
      </c>
      <c r="H29" t="s">
        <v>89</v>
      </c>
      <c r="I29" t="str">
        <f t="shared" si="0"/>
        <v>长安信托</v>
      </c>
    </row>
    <row r="30" spans="6:9">
      <c r="F30" s="5" t="s">
        <v>24</v>
      </c>
      <c r="G30" t="s">
        <v>84</v>
      </c>
      <c r="H30" t="s">
        <v>89</v>
      </c>
      <c r="I30" t="str">
        <f t="shared" si="0"/>
        <v>陆家嘴信托</v>
      </c>
    </row>
    <row r="31" spans="6:9">
      <c r="F31" s="5" t="s">
        <v>25</v>
      </c>
      <c r="G31" t="s">
        <v>86</v>
      </c>
      <c r="H31" t="s">
        <v>89</v>
      </c>
      <c r="I31" t="str">
        <f t="shared" si="0"/>
        <v>长安信托</v>
      </c>
    </row>
    <row r="32" spans="6:9">
      <c r="F32" s="5" t="s">
        <v>26</v>
      </c>
      <c r="G32" t="s">
        <v>86</v>
      </c>
      <c r="H32" t="s">
        <v>89</v>
      </c>
      <c r="I32" t="str">
        <f t="shared" si="0"/>
        <v>长安信托</v>
      </c>
    </row>
    <row r="33" spans="6:9">
      <c r="F33" s="5" t="s">
        <v>27</v>
      </c>
      <c r="G33" t="s">
        <v>86</v>
      </c>
      <c r="H33" t="s">
        <v>89</v>
      </c>
      <c r="I33" t="str">
        <f t="shared" si="0"/>
        <v>长安信托</v>
      </c>
    </row>
    <row r="34" spans="6:9">
      <c r="F34" s="5" t="s">
        <v>28</v>
      </c>
      <c r="G34" t="s">
        <v>86</v>
      </c>
      <c r="H34" t="s">
        <v>89</v>
      </c>
      <c r="I34" t="str">
        <f t="shared" si="0"/>
        <v>长安信托</v>
      </c>
    </row>
    <row r="35" spans="6:9">
      <c r="F35" s="5" t="s">
        <v>29</v>
      </c>
      <c r="G35" t="s">
        <v>86</v>
      </c>
      <c r="H35" t="s">
        <v>89</v>
      </c>
      <c r="I35" t="str">
        <f t="shared" si="0"/>
        <v>长安信托</v>
      </c>
    </row>
    <row r="36" spans="6:9">
      <c r="F36" s="5" t="s">
        <v>71</v>
      </c>
      <c r="G36" t="s">
        <v>88</v>
      </c>
      <c r="H36" t="s">
        <v>89</v>
      </c>
      <c r="I36" t="str">
        <f t="shared" si="0"/>
        <v>华宝信托</v>
      </c>
    </row>
    <row r="37" spans="6:9">
      <c r="F37" s="2" t="s">
        <v>30</v>
      </c>
      <c r="G37" t="s">
        <v>88</v>
      </c>
      <c r="H37" t="s">
        <v>89</v>
      </c>
      <c r="I37" t="str">
        <f t="shared" si="0"/>
        <v>华宝信托</v>
      </c>
    </row>
    <row r="38" spans="6:9">
      <c r="F38" s="3" t="s">
        <v>72</v>
      </c>
      <c r="G38" t="s">
        <v>86</v>
      </c>
      <c r="H38" t="s">
        <v>89</v>
      </c>
      <c r="I38" t="str">
        <f t="shared" si="0"/>
        <v>长安信托</v>
      </c>
    </row>
    <row r="39" spans="6:9">
      <c r="F39" s="5" t="s">
        <v>31</v>
      </c>
      <c r="G39" t="s">
        <v>88</v>
      </c>
      <c r="H39" t="s">
        <v>89</v>
      </c>
      <c r="I39" t="str">
        <f t="shared" si="0"/>
        <v>华宝信托</v>
      </c>
    </row>
    <row r="40" spans="6:9">
      <c r="F40" s="5" t="s">
        <v>32</v>
      </c>
      <c r="G40" t="s">
        <v>88</v>
      </c>
      <c r="H40" t="s">
        <v>89</v>
      </c>
      <c r="I40" t="str">
        <f t="shared" si="0"/>
        <v>华宝信托</v>
      </c>
    </row>
    <row r="41" spans="6:9">
      <c r="F41" s="5" t="s">
        <v>33</v>
      </c>
      <c r="G41" t="s">
        <v>88</v>
      </c>
      <c r="H41" t="s">
        <v>89</v>
      </c>
      <c r="I41" t="str">
        <f t="shared" si="0"/>
        <v>华宝信托</v>
      </c>
    </row>
    <row r="42" spans="6:9">
      <c r="F42" s="5" t="s">
        <v>24</v>
      </c>
      <c r="G42" t="s">
        <v>84</v>
      </c>
      <c r="H42" t="s">
        <v>89</v>
      </c>
      <c r="I42" t="str">
        <f t="shared" si="0"/>
        <v>陆家嘴信托</v>
      </c>
    </row>
    <row r="43" spans="6:9">
      <c r="F43" s="5" t="s">
        <v>34</v>
      </c>
      <c r="G43" t="s">
        <v>86</v>
      </c>
      <c r="H43" t="s">
        <v>89</v>
      </c>
      <c r="I43" t="str">
        <f t="shared" si="0"/>
        <v>长安信托</v>
      </c>
    </row>
    <row r="44" spans="6:9">
      <c r="F44" s="9" t="s">
        <v>73</v>
      </c>
      <c r="G44" t="s">
        <v>86</v>
      </c>
      <c r="H44" t="s">
        <v>89</v>
      </c>
      <c r="I44" t="str">
        <f t="shared" si="0"/>
        <v>长安信托</v>
      </c>
    </row>
    <row r="45" spans="6:9">
      <c r="F45" s="10" t="s">
        <v>74</v>
      </c>
      <c r="G45" t="s">
        <v>88</v>
      </c>
      <c r="H45" t="s">
        <v>89</v>
      </c>
      <c r="I45" t="str">
        <f t="shared" si="0"/>
        <v>华宝信托</v>
      </c>
    </row>
    <row r="46" spans="6:9">
      <c r="F46" s="5" t="s">
        <v>35</v>
      </c>
      <c r="G46" t="s">
        <v>88</v>
      </c>
      <c r="H46" t="s">
        <v>89</v>
      </c>
      <c r="I46" t="str">
        <f t="shared" si="0"/>
        <v>华宝信托</v>
      </c>
    </row>
    <row r="47" spans="6:9">
      <c r="F47" s="5" t="s">
        <v>24</v>
      </c>
      <c r="G47" t="s">
        <v>84</v>
      </c>
      <c r="H47" t="s">
        <v>89</v>
      </c>
      <c r="I47" t="str">
        <f t="shared" si="0"/>
        <v>陆家嘴信托</v>
      </c>
    </row>
    <row r="48" spans="6:9">
      <c r="F48" s="5" t="s">
        <v>36</v>
      </c>
      <c r="G48" t="s">
        <v>88</v>
      </c>
      <c r="H48" t="s">
        <v>89</v>
      </c>
      <c r="I48" t="str">
        <f t="shared" si="0"/>
        <v>华宝信托</v>
      </c>
    </row>
    <row r="49" spans="6:9">
      <c r="F49" s="6" t="s">
        <v>37</v>
      </c>
      <c r="G49" t="s">
        <v>86</v>
      </c>
      <c r="H49" t="s">
        <v>89</v>
      </c>
      <c r="I49" t="str">
        <f t="shared" si="0"/>
        <v>长安信托</v>
      </c>
    </row>
    <row r="50" spans="6:9">
      <c r="F50" s="6" t="s">
        <v>38</v>
      </c>
      <c r="G50" t="s">
        <v>86</v>
      </c>
      <c r="H50" t="s">
        <v>89</v>
      </c>
      <c r="I50" t="str">
        <f t="shared" si="0"/>
        <v>长安信托</v>
      </c>
    </row>
    <row r="51" spans="6:9">
      <c r="F51" s="5" t="s">
        <v>39</v>
      </c>
      <c r="G51" t="s">
        <v>88</v>
      </c>
      <c r="H51" t="s">
        <v>89</v>
      </c>
      <c r="I51" t="str">
        <f t="shared" si="0"/>
        <v>华宝信托</v>
      </c>
    </row>
    <row r="52" spans="6:9">
      <c r="F52" s="5" t="s">
        <v>0</v>
      </c>
      <c r="G52" t="s">
        <v>88</v>
      </c>
      <c r="H52" t="s">
        <v>89</v>
      </c>
      <c r="I52" t="str">
        <f t="shared" si="0"/>
        <v>华宝信托</v>
      </c>
    </row>
    <row r="53" spans="6:9">
      <c r="F53" s="5" t="s">
        <v>75</v>
      </c>
      <c r="G53" t="s">
        <v>84</v>
      </c>
      <c r="H53" t="s">
        <v>89</v>
      </c>
      <c r="I53" t="str">
        <f t="shared" si="0"/>
        <v>陆家嘴信托</v>
      </c>
    </row>
    <row r="54" spans="6:9">
      <c r="F54" s="6" t="s">
        <v>76</v>
      </c>
      <c r="G54" t="s">
        <v>86</v>
      </c>
      <c r="H54" t="s">
        <v>89</v>
      </c>
      <c r="I54" t="str">
        <f t="shared" si="0"/>
        <v>长安信托</v>
      </c>
    </row>
    <row r="55" spans="6:9">
      <c r="F55" s="6" t="s">
        <v>77</v>
      </c>
      <c r="G55" t="s">
        <v>86</v>
      </c>
      <c r="H55" t="s">
        <v>89</v>
      </c>
      <c r="I55" t="str">
        <f t="shared" si="0"/>
        <v>长安信托</v>
      </c>
    </row>
    <row r="56" spans="6:9">
      <c r="F56" s="6" t="s">
        <v>71</v>
      </c>
      <c r="G56" t="s">
        <v>88</v>
      </c>
      <c r="H56" t="s">
        <v>89</v>
      </c>
      <c r="I56" t="str">
        <f t="shared" si="0"/>
        <v>华宝信托</v>
      </c>
    </row>
    <row r="57" spans="6:9">
      <c r="F57" s="6" t="s">
        <v>78</v>
      </c>
      <c r="G57" t="s">
        <v>86</v>
      </c>
      <c r="H57" t="s">
        <v>89</v>
      </c>
      <c r="I57" t="str">
        <f t="shared" si="0"/>
        <v>长安信托</v>
      </c>
    </row>
    <row r="58" spans="6:9">
      <c r="F58" s="6" t="s">
        <v>79</v>
      </c>
      <c r="G58" t="s">
        <v>86</v>
      </c>
      <c r="H58" t="s">
        <v>89</v>
      </c>
      <c r="I58" t="str">
        <f t="shared" si="0"/>
        <v>长安信托</v>
      </c>
    </row>
    <row r="59" spans="6:9">
      <c r="F59" s="5" t="s">
        <v>40</v>
      </c>
      <c r="G59" t="s">
        <v>88</v>
      </c>
      <c r="H59" t="s">
        <v>89</v>
      </c>
      <c r="I59" t="str">
        <f t="shared" si="0"/>
        <v>华宝信托</v>
      </c>
    </row>
    <row r="60" spans="6:9">
      <c r="F60" s="5" t="s">
        <v>41</v>
      </c>
      <c r="G60" t="s">
        <v>88</v>
      </c>
      <c r="H60" t="s">
        <v>89</v>
      </c>
      <c r="I60" t="str">
        <f t="shared" si="0"/>
        <v>华宝信托</v>
      </c>
    </row>
    <row r="61" spans="6:9">
      <c r="F61" s="5" t="s">
        <v>42</v>
      </c>
      <c r="G61" t="s">
        <v>86</v>
      </c>
      <c r="H61" t="s">
        <v>89</v>
      </c>
      <c r="I61" t="str">
        <f t="shared" si="0"/>
        <v>长安信托</v>
      </c>
    </row>
    <row r="62" spans="6:9">
      <c r="F62" s="5" t="s">
        <v>43</v>
      </c>
      <c r="G62" t="s">
        <v>84</v>
      </c>
      <c r="H62" t="s">
        <v>89</v>
      </c>
      <c r="I62" t="str">
        <f t="shared" si="0"/>
        <v>陆家嘴信托</v>
      </c>
    </row>
    <row r="63" spans="6:9">
      <c r="F63" s="5" t="s">
        <v>44</v>
      </c>
      <c r="G63" t="s">
        <v>84</v>
      </c>
      <c r="H63" t="s">
        <v>89</v>
      </c>
      <c r="I63" t="str">
        <f t="shared" si="0"/>
        <v>陆家嘴信托</v>
      </c>
    </row>
    <row r="64" spans="6:9">
      <c r="F64" s="5" t="s">
        <v>45</v>
      </c>
      <c r="G64" t="s">
        <v>84</v>
      </c>
      <c r="H64" t="s">
        <v>89</v>
      </c>
      <c r="I64" t="str">
        <f t="shared" si="0"/>
        <v>陆家嘴信托</v>
      </c>
    </row>
    <row r="65" spans="6:9">
      <c r="F65" s="5" t="s">
        <v>46</v>
      </c>
      <c r="G65" t="s">
        <v>84</v>
      </c>
      <c r="H65" t="s">
        <v>89</v>
      </c>
      <c r="I65" t="str">
        <f t="shared" si="0"/>
        <v>陆家嘴信托</v>
      </c>
    </row>
    <row r="66" spans="6:9">
      <c r="F66" s="5" t="s">
        <v>47</v>
      </c>
      <c r="G66" t="s">
        <v>84</v>
      </c>
      <c r="H66" t="s">
        <v>89</v>
      </c>
      <c r="I66" t="str">
        <f t="shared" ref="I66:I90" si="1">G66&amp;H66</f>
        <v>陆家嘴信托</v>
      </c>
    </row>
    <row r="67" spans="6:9">
      <c r="F67" s="5" t="s">
        <v>48</v>
      </c>
      <c r="G67" t="s">
        <v>84</v>
      </c>
      <c r="H67" t="s">
        <v>89</v>
      </c>
      <c r="I67" t="str">
        <f t="shared" si="1"/>
        <v>陆家嘴信托</v>
      </c>
    </row>
    <row r="68" spans="6:9">
      <c r="F68" s="5" t="s">
        <v>49</v>
      </c>
      <c r="G68" t="s">
        <v>84</v>
      </c>
      <c r="H68" t="s">
        <v>89</v>
      </c>
      <c r="I68" t="str">
        <f t="shared" si="1"/>
        <v>陆家嘴信托</v>
      </c>
    </row>
    <row r="69" spans="6:9">
      <c r="F69" s="5" t="s">
        <v>50</v>
      </c>
      <c r="G69" t="s">
        <v>84</v>
      </c>
      <c r="H69" t="s">
        <v>89</v>
      </c>
      <c r="I69" t="str">
        <f t="shared" si="1"/>
        <v>陆家嘴信托</v>
      </c>
    </row>
    <row r="70" spans="6:9">
      <c r="F70" s="5" t="s">
        <v>51</v>
      </c>
      <c r="G70" t="s">
        <v>84</v>
      </c>
      <c r="H70" t="s">
        <v>89</v>
      </c>
      <c r="I70" t="str">
        <f t="shared" si="1"/>
        <v>陆家嘴信托</v>
      </c>
    </row>
    <row r="71" spans="6:9">
      <c r="F71" s="8" t="s">
        <v>52</v>
      </c>
      <c r="G71" t="s">
        <v>84</v>
      </c>
      <c r="H71" t="s">
        <v>89</v>
      </c>
      <c r="I71" t="str">
        <f t="shared" si="1"/>
        <v>陆家嘴信托</v>
      </c>
    </row>
    <row r="72" spans="6:9">
      <c r="F72" s="5" t="s">
        <v>80</v>
      </c>
      <c r="G72" t="s">
        <v>86</v>
      </c>
      <c r="H72" t="s">
        <v>89</v>
      </c>
      <c r="I72" t="str">
        <f t="shared" si="1"/>
        <v>长安信托</v>
      </c>
    </row>
    <row r="73" spans="6:9">
      <c r="F73" s="2" t="s">
        <v>81</v>
      </c>
      <c r="G73" t="s">
        <v>86</v>
      </c>
      <c r="H73" t="s">
        <v>89</v>
      </c>
      <c r="I73" t="str">
        <f t="shared" si="1"/>
        <v>长安信托</v>
      </c>
    </row>
    <row r="74" spans="6:9">
      <c r="F74" s="3" t="s">
        <v>82</v>
      </c>
      <c r="G74" t="s">
        <v>84</v>
      </c>
      <c r="H74" t="s">
        <v>89</v>
      </c>
      <c r="I74" t="str">
        <f t="shared" si="1"/>
        <v>陆家嘴信托</v>
      </c>
    </row>
    <row r="75" spans="6:9">
      <c r="F75" s="5" t="s">
        <v>53</v>
      </c>
      <c r="G75" t="s">
        <v>86</v>
      </c>
      <c r="H75" t="s">
        <v>89</v>
      </c>
      <c r="I75" t="str">
        <f t="shared" si="1"/>
        <v>长安信托</v>
      </c>
    </row>
    <row r="76" spans="6:9">
      <c r="F76" s="5" t="s">
        <v>54</v>
      </c>
      <c r="G76" t="s">
        <v>86</v>
      </c>
      <c r="H76" t="s">
        <v>89</v>
      </c>
      <c r="I76" t="str">
        <f t="shared" si="1"/>
        <v>长安信托</v>
      </c>
    </row>
    <row r="77" spans="6:9">
      <c r="F77" s="5" t="s">
        <v>6</v>
      </c>
      <c r="G77" t="s">
        <v>87</v>
      </c>
      <c r="H77" t="s">
        <v>89</v>
      </c>
      <c r="I77" t="str">
        <f t="shared" si="1"/>
        <v>中航信托</v>
      </c>
    </row>
    <row r="78" spans="6:9">
      <c r="F78" s="2" t="s">
        <v>83</v>
      </c>
      <c r="G78" t="s">
        <v>88</v>
      </c>
      <c r="H78" t="s">
        <v>89</v>
      </c>
      <c r="I78" t="str">
        <f t="shared" si="1"/>
        <v>华宝信托</v>
      </c>
    </row>
    <row r="79" spans="6:9">
      <c r="F79" s="3" t="s">
        <v>72</v>
      </c>
      <c r="G79" t="s">
        <v>86</v>
      </c>
      <c r="H79" t="s">
        <v>89</v>
      </c>
      <c r="I79" t="str">
        <f t="shared" si="1"/>
        <v>长安信托</v>
      </c>
    </row>
    <row r="80" spans="6:9">
      <c r="F80" s="5" t="s">
        <v>24</v>
      </c>
      <c r="G80" t="s">
        <v>84</v>
      </c>
      <c r="H80" t="s">
        <v>89</v>
      </c>
      <c r="I80" t="str">
        <f t="shared" si="1"/>
        <v>陆家嘴信托</v>
      </c>
    </row>
    <row r="81" spans="6:9">
      <c r="F81" s="5" t="s">
        <v>55</v>
      </c>
      <c r="G81" t="s">
        <v>86</v>
      </c>
      <c r="H81" t="s">
        <v>89</v>
      </c>
      <c r="I81" t="str">
        <f t="shared" si="1"/>
        <v>长安信托</v>
      </c>
    </row>
    <row r="82" spans="6:9">
      <c r="F82" s="5" t="s">
        <v>56</v>
      </c>
      <c r="G82" t="s">
        <v>86</v>
      </c>
      <c r="H82" t="s">
        <v>89</v>
      </c>
      <c r="I82" t="str">
        <f t="shared" si="1"/>
        <v>长安信托</v>
      </c>
    </row>
    <row r="83" spans="6:9">
      <c r="F83" s="5" t="s">
        <v>57</v>
      </c>
      <c r="G83" t="s">
        <v>86</v>
      </c>
      <c r="H83" t="s">
        <v>89</v>
      </c>
      <c r="I83" t="str">
        <f t="shared" si="1"/>
        <v>长安信托</v>
      </c>
    </row>
    <row r="84" spans="6:9">
      <c r="F84" s="5" t="s">
        <v>58</v>
      </c>
      <c r="G84" t="s">
        <v>84</v>
      </c>
      <c r="H84" t="s">
        <v>89</v>
      </c>
      <c r="I84" t="str">
        <f t="shared" si="1"/>
        <v>陆家嘴信托</v>
      </c>
    </row>
    <row r="85" spans="6:9">
      <c r="F85" s="5" t="s">
        <v>59</v>
      </c>
      <c r="G85" t="s">
        <v>84</v>
      </c>
      <c r="H85" t="s">
        <v>89</v>
      </c>
      <c r="I85" t="str">
        <f t="shared" si="1"/>
        <v>陆家嘴信托</v>
      </c>
    </row>
    <row r="86" spans="6:9">
      <c r="F86" s="5" t="s">
        <v>7</v>
      </c>
      <c r="G86" t="s">
        <v>84</v>
      </c>
      <c r="H86" t="s">
        <v>89</v>
      </c>
      <c r="I86" t="str">
        <f t="shared" si="1"/>
        <v>陆家嘴信托</v>
      </c>
    </row>
    <row r="87" spans="6:9">
      <c r="F87" s="5" t="s">
        <v>60</v>
      </c>
      <c r="G87" t="s">
        <v>86</v>
      </c>
      <c r="H87" t="s">
        <v>89</v>
      </c>
      <c r="I87" t="str">
        <f t="shared" si="1"/>
        <v>长安信托</v>
      </c>
    </row>
    <row r="88" spans="6:9">
      <c r="F88" s="5" t="s">
        <v>1</v>
      </c>
      <c r="G88" t="s">
        <v>84</v>
      </c>
      <c r="H88" t="s">
        <v>89</v>
      </c>
      <c r="I88" t="str">
        <f t="shared" si="1"/>
        <v>陆家嘴信托</v>
      </c>
    </row>
    <row r="89" spans="6:9">
      <c r="F89" s="5" t="s">
        <v>61</v>
      </c>
      <c r="G89" t="s">
        <v>86</v>
      </c>
      <c r="H89" t="s">
        <v>89</v>
      </c>
      <c r="I89" t="str">
        <f t="shared" si="1"/>
        <v>长安信托</v>
      </c>
    </row>
    <row r="90" spans="6:9">
      <c r="F90" s="5" t="s">
        <v>61</v>
      </c>
      <c r="G90" t="s">
        <v>86</v>
      </c>
      <c r="H90" t="s">
        <v>89</v>
      </c>
      <c r="I90" t="str">
        <f t="shared" si="1"/>
        <v>长安信托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Davy Zhao</dc:creator>
  <cp:lastModifiedBy>DAVY ZHAO</cp:lastModifiedBy>
  <dcterms:created xsi:type="dcterms:W3CDTF">2018-09-30T14:45:41Z</dcterms:created>
  <dcterms:modified xsi:type="dcterms:W3CDTF">2021-06-11T13:51:59Z</dcterms:modified>
</cp:coreProperties>
</file>